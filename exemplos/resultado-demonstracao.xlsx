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Resultado" r:id="rId4" sheetId="2"/>
    <sheet name="Erros" r:id="rId5" sheetId="3"/>
  </sheets>
  <definedNames>
    <definedName name="_xlnm._FilterDatabase" localSheetId="1" hidden="true">Resultado!$A$1:$H$14</definedName>
  </definedNames>
</workbook>
</file>

<file path=xl/sharedStrings.xml><?xml version="1.0" encoding="utf-8"?>
<sst xmlns="http://schemas.openxmlformats.org/spreadsheetml/2006/main" count="97" uniqueCount="65">
  <si>
    <t>Cliente :</t>
  </si>
  <si>
    <t>CLIENTE DEMONSTRACAO</t>
  </si>
  <si>
    <t>Data de solicitação do cliente :</t>
  </si>
  <si>
    <t>Data fim de Faturamento</t>
  </si>
  <si>
    <t>Duração do contrato :</t>
  </si>
  <si>
    <t>12 meses</t>
  </si>
  <si>
    <t>DEMONSTRAÇÃO DIDÁTICA — usar somente dados fictícios. Não utilizar para cobrança.</t>
  </si>
  <si>
    <t>Inconsistências: 2 — resultado parcial; confira a aba Erros.</t>
  </si>
  <si>
    <t>1. Multa de Cancelamento</t>
  </si>
  <si>
    <t>Operadora</t>
  </si>
  <si>
    <t>Chips a Cancelar</t>
  </si>
  <si>
    <t>Chips com Multa</t>
  </si>
  <si>
    <t>Dias de multa</t>
  </si>
  <si>
    <t>Tarifa Mensal (R$)</t>
  </si>
  <si>
    <t>Multa Cancelamento</t>
  </si>
  <si>
    <t>Reposição</t>
  </si>
  <si>
    <t>Valor Total (R$)</t>
  </si>
  <si>
    <t>ALFA</t>
  </si>
  <si>
    <t>BETA</t>
  </si>
  <si>
    <t>GAMA</t>
  </si>
  <si>
    <t>Sub total</t>
  </si>
  <si>
    <t>2. Pro Rata</t>
  </si>
  <si>
    <t>Último mês a faturar</t>
  </si>
  <si>
    <t>Dias a Faturar Por chip</t>
  </si>
  <si>
    <t>Valor Dia (R$)</t>
  </si>
  <si>
    <t>Total simulado</t>
  </si>
  <si>
    <t>ICCID</t>
  </si>
  <si>
    <t>LINHA</t>
  </si>
  <si>
    <t>OPERADORA</t>
  </si>
  <si>
    <t>INÍCIO</t>
  </si>
  <si>
    <t>FIM</t>
  </si>
  <si>
    <t>DIAS RESTANTES</t>
  </si>
  <si>
    <t>MULTA</t>
  </si>
  <si>
    <t>SITUAÇÃO</t>
  </si>
  <si>
    <t>00000000000000000001</t>
  </si>
  <si>
    <t>000000000001</t>
  </si>
  <si>
    <t>CALCULADO</t>
  </si>
  <si>
    <t>00000000000000000002</t>
  </si>
  <si>
    <t>000000000002</t>
  </si>
  <si>
    <t>00000000000000000003</t>
  </si>
  <si>
    <t>000000000003</t>
  </si>
  <si>
    <t>00000000000000000004</t>
  </si>
  <si>
    <t>000000000004</t>
  </si>
  <si>
    <t>00000000000000000005</t>
  </si>
  <si>
    <t>000000000005</t>
  </si>
  <si>
    <t>00000000000000000006</t>
  </si>
  <si>
    <t>000000000006</t>
  </si>
  <si>
    <t>00000000000000000007</t>
  </si>
  <si>
    <t>000000000007</t>
  </si>
  <si>
    <t>00000000000000000008</t>
  </si>
  <si>
    <t>000000000008</t>
  </si>
  <si>
    <t>00000000000000000009</t>
  </si>
  <si>
    <t>000000000009</t>
  </si>
  <si>
    <t>00000000000000000010</t>
  </si>
  <si>
    <t>000000000010</t>
  </si>
  <si>
    <t>00000000000000000011</t>
  </si>
  <si>
    <t>000000000011</t>
  </si>
  <si>
    <t>00000000000000000012</t>
  </si>
  <si>
    <t>000000000012</t>
  </si>
  <si>
    <t>00000000000000000091</t>
  </si>
  <si>
    <t>000000000091</t>
  </si>
  <si>
    <t>PENDENTE — consultar Erros</t>
  </si>
  <si>
    <t>Descrição</t>
  </si>
  <si>
    <t>Linha 13 -&gt; Operadora nao encontrada</t>
  </si>
  <si>
    <t>Linha 14 -&gt; Data de inicio nao encontrada para o ICCID 00000000000000000091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</si>
</sst>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;[Red]-&quot;R$&quot; #,##0.00;&quot;R$&quot; -"/>
    <numFmt numFmtId="166" formatCode="[$-0416]mmmm-yy"/>
  </numFmts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0" fontId="2" fillId="0" borderId="0" xfId="0" applyFont="true"/>
    <xf numFmtId="164" fontId="2" fillId="0" borderId="0" xfId="0" applyFont="true" applyNumberFormat="true"/>
    <xf numFmtId="0" fontId="2" fillId="0" borderId="0" xfId="0" applyFont="true"/>
    <xf numFmtId="0" fontId="2" fillId="0" borderId="4" xfId="0" applyFont="true" applyBorder="true" applyAlignment="true">
      <alignment vertical="center" horizontal="center" wrapText="true"/>
    </xf>
    <xf numFmtId="0" fontId="1" fillId="0" borderId="4" xfId="0" applyFont="true" applyBorder="true" applyAlignment="true">
      <alignment vertical="center" horizontal="center"/>
    </xf>
    <xf numFmtId="3" fontId="1" fillId="0" borderId="4" xfId="0" applyFont="true" applyBorder="true" applyAlignment="true" applyNumberFormat="true">
      <alignment vertical="center" horizontal="center"/>
    </xf>
    <xf numFmtId="165" fontId="1" fillId="0" borderId="4" xfId="0" applyFont="true" applyBorder="true" applyAlignment="true" applyNumberFormat="true">
      <alignment vertical="center" horizontal="right"/>
    </xf>
    <xf numFmtId="166" fontId="1" fillId="0" borderId="4" xfId="0" applyFont="true" applyBorder="true" applyAlignment="true" applyNumberFormat="true">
      <alignment vertical="center" horizontal="center"/>
    </xf>
    <xf numFmtId="164" fontId="1" fillId="0" borderId="4" xfId="0" applyFont="true" applyBorder="true" applyAlignment="true" applyNumberFormat="true">
      <alignment vertical="center" horizontal="center"/>
    </xf>
    <xf numFmtId="49" fontId="1" fillId="0" borderId="4" xfId="0" applyFont="true" applyBorder="true" applyAlignment="true" applyNumberFormat="true">
      <alignment vertical="center"/>
    </xf>
    <xf numFmtId="0" fontId="2" fillId="0" borderId="4" xfId="0" applyFont="true" applyBorder="true" applyAlignment="true">
      <alignment vertical="center" horizontal="center"/>
    </xf>
    <xf numFmtId="165" fontId="2" fillId="0" borderId="4" xfId="0" applyFont="true" applyBorder="true" applyAlignment="true" applyNumberFormat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24"/>
  <sheetViews>
    <sheetView workbookViewId="0" tabSelected="true" showGridLines="false"/>
  </sheetViews>
  <sheetFormatPr defaultRowHeight="15.0"/>
  <cols>
    <col min="1" max="1" width="26.0" customWidth="true"/>
    <col min="2" max="2" width="18.0" customWidth="true"/>
    <col min="3" max="3" width="19.0" customWidth="true"/>
    <col min="4" max="4" width="18.0" customWidth="true"/>
    <col min="5" max="5" width="22.0" customWidth="true"/>
    <col min="6" max="6" width="22.0" customWidth="true"/>
    <col min="7" max="7" width="20.0" customWidth="true"/>
    <col min="8" max="8" width="18.0" customWidth="true"/>
  </cols>
  <sheetData>
    <row r="1">
      <c r="A1" t="s" s="1">
        <v>0</v>
      </c>
      <c r="B1" t="s" s="2">
        <v>1</v>
      </c>
    </row>
    <row r="2">
      <c r="A2" t="s" s="1">
        <v>2</v>
      </c>
      <c r="B2" t="n" s="3">
        <v>46296.0</v>
      </c>
    </row>
    <row r="4">
      <c r="A4" t="s" s="1">
        <v>3</v>
      </c>
      <c r="B4" t="n" s="3">
        <v>46310.0</v>
      </c>
    </row>
    <row r="5">
      <c r="A5" t="s" s="1">
        <v>4</v>
      </c>
      <c r="B5" t="s" s="2">
        <v>5</v>
      </c>
    </row>
    <row r="7">
      <c r="A7" t="s" s="0">
        <v>6</v>
      </c>
    </row>
    <row r="8">
      <c r="A8" t="s" s="0">
        <v>7</v>
      </c>
    </row>
    <row r="10">
      <c r="A10" t="s" s="4">
        <v>8</v>
      </c>
    </row>
    <row r="11" ht="28.0" customHeight="true">
      <c r="A11" t="s" s="5">
        <v>9</v>
      </c>
      <c r="B11" t="s" s="5">
        <v>10</v>
      </c>
      <c r="C11" t="s" s="5">
        <v>11</v>
      </c>
      <c r="D11" t="s" s="5">
        <v>12</v>
      </c>
      <c r="E11" t="s" s="5">
        <v>13</v>
      </c>
      <c r="F11" t="s" s="5">
        <v>14</v>
      </c>
      <c r="G11" t="s" s="5">
        <v>15</v>
      </c>
      <c r="H11" t="s" s="5">
        <v>16</v>
      </c>
    </row>
    <row r="12">
      <c r="A12" t="s" s="6">
        <v>17</v>
      </c>
      <c r="B12" t="n" s="7">
        <v>5.0</v>
      </c>
      <c r="C12" t="n" s="7">
        <v>4.0</v>
      </c>
      <c r="D12" t="n" s="7">
        <v>736.0</v>
      </c>
      <c r="E12" t="n" s="8">
        <v>30.0</v>
      </c>
      <c r="F12" t="n" s="8">
        <v>147.2</v>
      </c>
      <c r="G12" t="n" s="8">
        <v>0.0</v>
      </c>
      <c r="H12" s="8" t="n">
        <f>F12+G12</f>
        <v>147.2</v>
      </c>
    </row>
    <row r="13">
      <c r="A13" t="s" s="6">
        <v>18</v>
      </c>
      <c r="B13" t="n" s="7">
        <v>4.0</v>
      </c>
      <c r="C13" t="n" s="7">
        <v>4.0</v>
      </c>
      <c r="D13" t="n" s="7">
        <v>854.0</v>
      </c>
      <c r="E13" t="n" s="8">
        <v>45.0</v>
      </c>
      <c r="F13" t="n" s="8">
        <v>256.2</v>
      </c>
      <c r="G13" t="n" s="8">
        <v>0.0</v>
      </c>
      <c r="H13" s="8" t="n">
        <f>F13+G13</f>
        <v>256.2</v>
      </c>
    </row>
    <row r="14">
      <c r="A14" t="s" s="6">
        <v>19</v>
      </c>
      <c r="B14" t="n" s="7">
        <v>4.0</v>
      </c>
      <c r="C14" t="n" s="7">
        <v>2.0</v>
      </c>
      <c r="D14" t="n" s="7">
        <v>458.0</v>
      </c>
      <c r="E14" t="n" s="8">
        <v>60.0</v>
      </c>
      <c r="F14" t="n" s="8">
        <v>183.2</v>
      </c>
      <c r="G14" t="n" s="8">
        <v>0.0</v>
      </c>
      <c r="H14" s="8" t="n">
        <f>F14+G14</f>
        <v>183.2</v>
      </c>
    </row>
    <row r="15">
      <c r="A15" s="12"/>
      <c r="B15" s="12" t="n">
        <f>SUM(B12:B14)</f>
        <v>13.0</v>
      </c>
      <c r="C15" s="12" t="n">
        <f>SUM(C12:C14)</f>
        <v>10.0</v>
      </c>
      <c r="D15" s="12"/>
      <c r="E15" s="12"/>
      <c r="F15" s="12"/>
      <c r="G15" s="12" t="s">
        <v>20</v>
      </c>
      <c r="H15" s="13" t="n">
        <f>SUM(H12:H14)</f>
        <v>586.5999999999999</v>
      </c>
    </row>
    <row r="17">
      <c r="A17" t="s" s="4">
        <v>21</v>
      </c>
    </row>
    <row r="18" ht="28.0" customHeight="true">
      <c r="A18" t="s" s="5">
        <v>9</v>
      </c>
      <c r="B18" t="s" s="5">
        <v>10</v>
      </c>
      <c r="C18" t="s" s="5">
        <v>13</v>
      </c>
      <c r="D18" t="s" s="5">
        <v>22</v>
      </c>
      <c r="E18" t="s" s="5">
        <v>23</v>
      </c>
      <c r="F18" t="s" s="5">
        <v>24</v>
      </c>
      <c r="G18" t="s" s="5">
        <v>16</v>
      </c>
    </row>
    <row r="19">
      <c r="A19" t="s" s="6">
        <v>17</v>
      </c>
      <c r="B19" t="n" s="7">
        <v>5.0</v>
      </c>
      <c r="C19" t="n" s="8">
        <v>30.0</v>
      </c>
      <c r="D19" s="9" t="str">
        <f>CHOOSE(MONTH($B$4),"janeiro","fevereiro","março","abril","maio","junho","julho","agosto","setembro","outubro","novembro","dezembro")&amp;"-"&amp;TEXT($B$4,"yy")</f>
        <v>outubro-26</v>
      </c>
      <c r="E19" s="7" t="n">
        <v>15.0</v>
      </c>
      <c r="F19" s="8" t="n">
        <f>C19/31</f>
        <v>0.967741935483871</v>
      </c>
      <c r="G19" s="8" t="n">
        <f>B19*E19*F19</f>
        <v>72.58064516129032</v>
      </c>
    </row>
    <row r="20">
      <c r="A20" t="s" s="6">
        <v>18</v>
      </c>
      <c r="B20" t="n" s="7">
        <v>4.0</v>
      </c>
      <c r="C20" t="n" s="8">
        <v>45.0</v>
      </c>
      <c r="D20" s="9" t="str">
        <f>CHOOSE(MONTH($B$4),"janeiro","fevereiro","março","abril","maio","junho","julho","agosto","setembro","outubro","novembro","dezembro")&amp;"-"&amp;TEXT($B$4,"yy")</f>
        <v>outubro-26</v>
      </c>
      <c r="E20" s="7" t="n">
        <v>15.0</v>
      </c>
      <c r="F20" s="8" t="n">
        <f>C20/31</f>
        <v>1.4516129032258065</v>
      </c>
      <c r="G20" s="8" t="n">
        <f>B20*E20*F20</f>
        <v>87.0967741935486</v>
      </c>
    </row>
    <row r="21">
      <c r="A21" t="s" s="6">
        <v>19</v>
      </c>
      <c r="B21" t="n" s="7">
        <v>4.0</v>
      </c>
      <c r="C21" t="n" s="8">
        <v>60.0</v>
      </c>
      <c r="D21" s="9" t="str">
        <f>CHOOSE(MONTH($B$4),"janeiro","fevereiro","março","abril","maio","junho","julho","agosto","setembro","outubro","novembro","dezembro")&amp;"-"&amp;TEXT($B$4,"yy")</f>
        <v>outubro-26</v>
      </c>
      <c r="E21" s="7" t="n">
        <v>15.0</v>
      </c>
      <c r="F21" s="8" t="n">
        <f>C21/31</f>
        <v>1.935483870967742</v>
      </c>
      <c r="G21" s="8" t="n">
        <f>B21*E21*F21</f>
        <v>116.1290322580644</v>
      </c>
    </row>
    <row r="22">
      <c r="A22" s="12"/>
      <c r="B22" s="12" t="n">
        <f>SUM(B19:B21)</f>
        <v>13.0</v>
      </c>
      <c r="C22" s="12"/>
      <c r="D22" s="12"/>
      <c r="E22" s="12"/>
      <c r="F22" s="12" t="s">
        <v>20</v>
      </c>
      <c r="G22" s="13" t="n">
        <f>SUM(G19:G21)</f>
        <v>275.8064516129033</v>
      </c>
    </row>
    <row r="24">
      <c r="F24" t="s" s="12">
        <v>25</v>
      </c>
      <c r="G24" s="13" t="n">
        <f>H15+G22</f>
        <v>862.4064516129032</v>
      </c>
    </row>
  </sheetData>
  <mergeCells count="2">
    <mergeCell ref="A7:H7"/>
    <mergeCell ref="A8:H8"/>
  </mergeCells>
  <pageMargins bottom="0.75" footer="0.3" header="0.3" left="0.7" right="0.7" top="0.75"/>
  <pageSetup orientation="landscape" fitToWidth="1" fitToHeight="0"/>
</worksheet>
</file>

<file path=xl/worksheets/sheet2.xml><?xml version="1.0" encoding="utf-8"?>
<worksheet xmlns="http://schemas.openxmlformats.org/spreadsheetml/2006/main">
  <dimension ref="A1:H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18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</cols>
  <sheetData>
    <row r="1" ht="28.0" customHeight="true">
      <c r="A1" t="s" s="5">
        <v>26</v>
      </c>
      <c r="B1" t="s" s="5">
        <v>27</v>
      </c>
      <c r="C1" t="s" s="5">
        <v>28</v>
      </c>
      <c r="D1" t="s" s="5">
        <v>29</v>
      </c>
      <c r="E1" t="s" s="5">
        <v>30</v>
      </c>
      <c r="F1" t="s" s="5">
        <v>31</v>
      </c>
      <c r="G1" t="s" s="5">
        <v>32</v>
      </c>
      <c r="H1" t="s" s="5">
        <v>33</v>
      </c>
    </row>
    <row r="2">
      <c r="A2" t="s" s="11">
        <v>34</v>
      </c>
      <c r="B2" t="s" s="11">
        <v>35</v>
      </c>
      <c r="C2" t="s" s="6">
        <v>17</v>
      </c>
      <c r="D2" t="n" s="10">
        <v>46023.0</v>
      </c>
      <c r="E2" t="n" s="10">
        <v>46388.0</v>
      </c>
      <c r="F2" t="n" s="7">
        <v>78.0</v>
      </c>
      <c r="G2" t="n" s="8">
        <v>15.6</v>
      </c>
      <c r="H2" t="s" s="6">
        <v>36</v>
      </c>
    </row>
    <row r="3">
      <c r="A3" t="s" s="11">
        <v>37</v>
      </c>
      <c r="B3" t="s" s="11">
        <v>38</v>
      </c>
      <c r="C3" t="s" s="6">
        <v>18</v>
      </c>
      <c r="D3" t="n" s="10">
        <v>46113.0</v>
      </c>
      <c r="E3" t="n" s="10">
        <v>46478.0</v>
      </c>
      <c r="F3" t="n" s="7">
        <v>168.0</v>
      </c>
      <c r="G3" t="n" s="8">
        <v>50.4</v>
      </c>
      <c r="H3" t="s" s="6">
        <v>36</v>
      </c>
    </row>
    <row r="4">
      <c r="A4" t="s" s="11">
        <v>39</v>
      </c>
      <c r="B4" t="s" s="11">
        <v>40</v>
      </c>
      <c r="C4" t="s" s="6">
        <v>19</v>
      </c>
      <c r="D4" t="n" s="10">
        <v>45292.0</v>
      </c>
      <c r="E4" t="n" s="10">
        <v>45657.0</v>
      </c>
      <c r="F4" t="n" s="7">
        <v>0.0</v>
      </c>
      <c r="G4" t="n" s="8">
        <v>0.0</v>
      </c>
      <c r="H4" t="s" s="6">
        <v>36</v>
      </c>
    </row>
    <row r="5">
      <c r="A5" t="s" s="11">
        <v>41</v>
      </c>
      <c r="B5" t="s" s="11">
        <v>42</v>
      </c>
      <c r="C5" t="s" s="6">
        <v>17</v>
      </c>
      <c r="D5" t="n" s="10">
        <v>46235.0</v>
      </c>
      <c r="E5" t="n" s="10">
        <v>46600.0</v>
      </c>
      <c r="F5" t="n" s="7">
        <v>290.0</v>
      </c>
      <c r="G5" t="n" s="8">
        <v>58.0</v>
      </c>
      <c r="H5" t="s" s="6">
        <v>36</v>
      </c>
    </row>
    <row r="6">
      <c r="A6" t="s" s="11">
        <v>43</v>
      </c>
      <c r="B6" t="s" s="11">
        <v>44</v>
      </c>
      <c r="C6" t="s" s="6">
        <v>18</v>
      </c>
      <c r="D6" t="n" s="10">
        <v>46204.0</v>
      </c>
      <c r="E6" t="n" s="10">
        <v>46569.0</v>
      </c>
      <c r="F6" t="n" s="7">
        <v>259.0</v>
      </c>
      <c r="G6" t="n" s="8">
        <v>77.7</v>
      </c>
      <c r="H6" t="s" s="6">
        <v>36</v>
      </c>
    </row>
    <row r="7">
      <c r="A7" t="s" s="11">
        <v>45</v>
      </c>
      <c r="B7" t="s" s="11">
        <v>46</v>
      </c>
      <c r="C7" t="s" s="6">
        <v>19</v>
      </c>
      <c r="D7" t="n" s="10">
        <v>46174.0</v>
      </c>
      <c r="E7" t="n" s="10">
        <v>46539.0</v>
      </c>
      <c r="F7" t="n" s="7">
        <v>229.0</v>
      </c>
      <c r="G7" t="n" s="8">
        <v>91.6</v>
      </c>
      <c r="H7" t="s" s="6">
        <v>36</v>
      </c>
    </row>
    <row r="8">
      <c r="A8" t="s" s="11">
        <v>47</v>
      </c>
      <c r="B8" t="s" s="11">
        <v>48</v>
      </c>
      <c r="C8" t="s" s="6">
        <v>17</v>
      </c>
      <c r="D8" t="n" s="10">
        <v>46023.0</v>
      </c>
      <c r="E8" t="n" s="10">
        <v>46388.0</v>
      </c>
      <c r="F8" t="n" s="7">
        <v>78.0</v>
      </c>
      <c r="G8" t="n" s="8">
        <v>15.6</v>
      </c>
      <c r="H8" t="s" s="6">
        <v>36</v>
      </c>
    </row>
    <row r="9">
      <c r="A9" t="s" s="11">
        <v>49</v>
      </c>
      <c r="B9" t="s" s="11">
        <v>50</v>
      </c>
      <c r="C9" t="s" s="6">
        <v>18</v>
      </c>
      <c r="D9" t="n" s="10">
        <v>46113.0</v>
      </c>
      <c r="E9" t="n" s="10">
        <v>46478.0</v>
      </c>
      <c r="F9" t="n" s="7">
        <v>168.0</v>
      </c>
      <c r="G9" t="n" s="8">
        <v>50.4</v>
      </c>
      <c r="H9" t="s" s="6">
        <v>36</v>
      </c>
    </row>
    <row r="10">
      <c r="A10" t="s" s="11">
        <v>51</v>
      </c>
      <c r="B10" t="s" s="11">
        <v>52</v>
      </c>
      <c r="C10" t="s" s="6">
        <v>19</v>
      </c>
      <c r="D10" t="n" s="10">
        <v>45292.0</v>
      </c>
      <c r="E10" t="n" s="10">
        <v>45657.0</v>
      </c>
      <c r="F10" t="n" s="7">
        <v>0.0</v>
      </c>
      <c r="G10" t="n" s="8">
        <v>0.0</v>
      </c>
      <c r="H10" t="s" s="6">
        <v>36</v>
      </c>
    </row>
    <row r="11">
      <c r="A11" t="s" s="11">
        <v>53</v>
      </c>
      <c r="B11" t="s" s="11">
        <v>54</v>
      </c>
      <c r="C11" t="s" s="6">
        <v>17</v>
      </c>
      <c r="D11" t="n" s="10">
        <v>46235.0</v>
      </c>
      <c r="E11" t="n" s="10">
        <v>46600.0</v>
      </c>
      <c r="F11" t="n" s="7">
        <v>290.0</v>
      </c>
      <c r="G11" t="n" s="8">
        <v>58.0</v>
      </c>
      <c r="H11" t="s" s="6">
        <v>36</v>
      </c>
    </row>
    <row r="12">
      <c r="A12" t="s" s="11">
        <v>55</v>
      </c>
      <c r="B12" t="s" s="11">
        <v>56</v>
      </c>
      <c r="C12" t="s" s="6">
        <v>18</v>
      </c>
      <c r="D12" t="n" s="10">
        <v>46204.0</v>
      </c>
      <c r="E12" t="n" s="10">
        <v>46569.0</v>
      </c>
      <c r="F12" t="n" s="7">
        <v>259.0</v>
      </c>
      <c r="G12" t="n" s="8">
        <v>77.7</v>
      </c>
      <c r="H12" t="s" s="6">
        <v>36</v>
      </c>
    </row>
    <row r="13">
      <c r="A13" t="s" s="11">
        <v>57</v>
      </c>
      <c r="B13" t="s" s="11">
        <v>58</v>
      </c>
      <c r="C13" t="s" s="6">
        <v>19</v>
      </c>
      <c r="D13" t="n" s="10">
        <v>46174.0</v>
      </c>
      <c r="E13" t="n" s="10">
        <v>46539.0</v>
      </c>
      <c r="F13" t="n" s="7">
        <v>229.0</v>
      </c>
      <c r="G13" t="n" s="8">
        <v>91.6</v>
      </c>
      <c r="H13" t="s" s="6">
        <v>36</v>
      </c>
    </row>
    <row r="14">
      <c r="A14" t="s" s="11">
        <v>59</v>
      </c>
      <c r="B14" t="s" s="11">
        <v>60</v>
      </c>
      <c r="C14" t="s" s="6">
        <v>17</v>
      </c>
      <c r="D14" s="10"/>
      <c r="E14" s="10"/>
      <c r="F14" t="n" s="7">
        <v>0.0</v>
      </c>
      <c r="G14" t="n" s="8">
        <v>0.0</v>
      </c>
      <c r="H14" t="s" s="6">
        <v>61</v>
      </c>
    </row>
  </sheetData>
  <autoFilter ref="A1:H14"/>
  <pageMargins bottom="0.75" footer="0.3" header="0.3" left="0.7" right="0.7" top="0.75"/>
  <headerFooter>
    <oddHeader>&amp;CDEMONSTRAÇÃO — usar somente dados fictícios</oddHeader>
  </headerFooter>
</worksheet>
</file>

<file path=xl/worksheets/sheet3.xml><?xml version="1.0" encoding="utf-8"?>
<worksheet xmlns="http://schemas.openxmlformats.org/spreadsheetml/2006/main">
  <dimension ref="A1:A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0.0" customWidth="true"/>
  </cols>
  <sheetData>
    <row r="1" ht="28.0" customHeight="true">
      <c r="A1" t="s" s="5">
        <v>62</v>
      </c>
    </row>
    <row r="2">
      <c r="A2" t="s" s="6">
        <v>63</v>
      </c>
    </row>
    <row r="3">
      <c r="A3" t="s" s="6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2026-10-24T13:50:04Z</dcterms:created>
  <dc:creator>Apache POI</dc:creator>
</cp:coreProperties>
</file>